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t Allocation" sheetId="1" state="visible" r:id="rId3"/>
    <sheet name="Building Layou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<sst xmlns="http://schemas.openxmlformats.org/spreadsheetml/2006/main" count="290" uniqueCount="131">
  <si>
    <t xml:space="preserve">New Building – Flat Allocation (Random Draw)</t>
  </si>
  <si>
    <t xml:space="preserve">Old Building: 30 flats × 450 sq.ft. each   |   New Building: Wing A (10 flats) + Wing B (20 flats)</t>
  </si>
  <si>
    <t xml:space="preserve">Old Flat No.</t>
  </si>
  <si>
    <t xml:space="preserve">Owner / Remark</t>
  </si>
  <si>
    <t xml:space="preserve">New Flat No.</t>
  </si>
  <si>
    <t xml:space="preserve">Wing</t>
  </si>
  <si>
    <t xml:space="preserve">Floor</t>
  </si>
  <si>
    <t xml:space="preserve">Position in Wing B</t>
  </si>
  <si>
    <t xml:space="preserve">Area (sq.ft.)</t>
  </si>
  <si>
    <t xml:space="preserve">Notes</t>
  </si>
  <si>
    <t xml:space="preserve">Individual Owner</t>
  </si>
  <si>
    <t xml:space="preserve">B-03-1</t>
  </si>
  <si>
    <t xml:space="preserve">Wing B</t>
  </si>
  <si>
    <t xml:space="preserve">1</t>
  </si>
  <si>
    <t xml:space="preserve">Random allocation</t>
  </si>
  <si>
    <t xml:space="preserve">A-09</t>
  </si>
  <si>
    <t xml:space="preserve">Wing A</t>
  </si>
  <si>
    <t xml:space="preserve">—</t>
  </si>
  <si>
    <t xml:space="preserve">Owner A (Old Flats 3 &amp; 5)</t>
  </si>
  <si>
    <t xml:space="preserve">B-01-1</t>
  </si>
  <si>
    <t xml:space="preserve">Paired allocation – same floor Wing B-01</t>
  </si>
  <si>
    <t xml:space="preserve">A-08</t>
  </si>
  <si>
    <t xml:space="preserve">B-01-2</t>
  </si>
  <si>
    <t xml:space="preserve">2</t>
  </si>
  <si>
    <t xml:space="preserve">A-07</t>
  </si>
  <si>
    <t xml:space="preserve">B-08-1</t>
  </si>
  <si>
    <t xml:space="preserve">B-05-2</t>
  </si>
  <si>
    <t xml:space="preserve">A-04</t>
  </si>
  <si>
    <t xml:space="preserve">B-10-1</t>
  </si>
  <si>
    <t xml:space="preserve">B-04-1</t>
  </si>
  <si>
    <t xml:space="preserve">B-07-2</t>
  </si>
  <si>
    <t xml:space="preserve">A-02</t>
  </si>
  <si>
    <t xml:space="preserve">Owner B (Old Flats 14 &amp; 23)</t>
  </si>
  <si>
    <t xml:space="preserve">B-06-1</t>
  </si>
  <si>
    <t xml:space="preserve">Paired allocation – same floor Wing B-06</t>
  </si>
  <si>
    <t xml:space="preserve">A-05</t>
  </si>
  <si>
    <t xml:space="preserve">B-08-2</t>
  </si>
  <si>
    <t xml:space="preserve">A-10</t>
  </si>
  <si>
    <t xml:space="preserve">B-09-2</t>
  </si>
  <si>
    <t xml:space="preserve">A-01</t>
  </si>
  <si>
    <t xml:space="preserve">B-05-1</t>
  </si>
  <si>
    <t xml:space="preserve">B-02-2</t>
  </si>
  <si>
    <t xml:space="preserve">B-09-1</t>
  </si>
  <si>
    <t xml:space="preserve">B-06-2</t>
  </si>
  <si>
    <t xml:space="preserve">B-02-1</t>
  </si>
  <si>
    <t xml:space="preserve">B-04-2</t>
  </si>
  <si>
    <t xml:space="preserve">B-10-2</t>
  </si>
  <si>
    <t xml:space="preserve">B-03-2</t>
  </si>
  <si>
    <t xml:space="preserve">A-06</t>
  </si>
  <si>
    <t xml:space="preserve">B-07-1</t>
  </si>
  <si>
    <t xml:space="preserve">A-03</t>
  </si>
  <si>
    <t xml:space="preserve">TOTAL  –  30 Old Flats  →  30 New Flats</t>
  </si>
  <si>
    <t xml:space="preserve">LEGEND</t>
  </si>
  <si>
    <t xml:space="preserve">Yellow – Owner A: Old Flats 3 &amp; 5 → Paired new flats on same floor in Wing B</t>
  </si>
  <si>
    <t xml:space="preserve">Green  – Owner B: Old Flats 14 &amp; 23 → Paired new flats on same floor in Wing B</t>
  </si>
  <si>
    <t xml:space="preserve">Blue   – Individual owners allocated to Wing A</t>
  </si>
  <si>
    <t xml:space="preserve">Grey   – Individual owners allocated to Wing B</t>
  </si>
  <si>
    <t xml:space="preserve">New Building – Visual Floor Plan</t>
  </si>
  <si>
    <t xml:space="preserve">WING A  (1 Flat per Floor)</t>
  </si>
  <si>
    <t xml:space="preserve">WING B  (2 Flats per Floor)</t>
  </si>
  <si>
    <t xml:space="preserve">New Flat</t>
  </si>
  <si>
    <t xml:space="preserve">Flat B-1 (Left)</t>
  </si>
  <si>
    <t xml:space="preserve">Flat B-2 (Right)</t>
  </si>
  <si>
    <t xml:space="preserve">Floor 10</t>
  </si>
  <si>
    <t xml:space="preserve">Old Flat 17</t>
  </si>
  <si>
    <t xml:space="preserve">Old Flat 10</t>
  </si>
  <si>
    <t xml:space="preserve">Old Flat 26</t>
  </si>
  <si>
    <t xml:space="preserve">Floor 9</t>
  </si>
  <si>
    <t xml:space="preserve">Old Flat 2</t>
  </si>
  <si>
    <t xml:space="preserve">Old Flat 22</t>
  </si>
  <si>
    <t xml:space="preserve">Old Flat 18</t>
  </si>
  <si>
    <t xml:space="preserve">Floor 8</t>
  </si>
  <si>
    <t xml:space="preserve">Old Flat 4</t>
  </si>
  <si>
    <t xml:space="preserve">Old Flat 7</t>
  </si>
  <si>
    <t xml:space="preserve">Old Flat 16</t>
  </si>
  <si>
    <t xml:space="preserve">Floor 7</t>
  </si>
  <si>
    <t xml:space="preserve">Old Flat 6</t>
  </si>
  <si>
    <t xml:space="preserve">Old Flat 29</t>
  </si>
  <si>
    <t xml:space="preserve">Old Flat 12</t>
  </si>
  <si>
    <t xml:space="preserve">Floor 6</t>
  </si>
  <si>
    <t xml:space="preserve">Old Flat 28</t>
  </si>
  <si>
    <t xml:space="preserve">Old Flat 14</t>
  </si>
  <si>
    <t xml:space="preserve">Old Flat 23</t>
  </si>
  <si>
    <t xml:space="preserve">Floor 5</t>
  </si>
  <si>
    <t xml:space="preserve">Old Flat 15</t>
  </si>
  <si>
    <t xml:space="preserve">Old Flat 20</t>
  </si>
  <si>
    <t xml:space="preserve">Old Flat 8</t>
  </si>
  <si>
    <t xml:space="preserve">Floor 4</t>
  </si>
  <si>
    <t xml:space="preserve">Old Flat 9</t>
  </si>
  <si>
    <t xml:space="preserve">Old Flat 11</t>
  </si>
  <si>
    <t xml:space="preserve">Old Flat 25</t>
  </si>
  <si>
    <t xml:space="preserve">Floor 3</t>
  </si>
  <si>
    <t xml:space="preserve">Old Flat 30</t>
  </si>
  <si>
    <t xml:space="preserve">Old Flat 1</t>
  </si>
  <si>
    <t xml:space="preserve">Old Flat 27</t>
  </si>
  <si>
    <t xml:space="preserve">Floor 2</t>
  </si>
  <si>
    <t xml:space="preserve">Old Flat 13</t>
  </si>
  <si>
    <t xml:space="preserve">Old Flat 24</t>
  </si>
  <si>
    <t xml:space="preserve">Old Flat 21</t>
  </si>
  <si>
    <t xml:space="preserve">Floor 1</t>
  </si>
  <si>
    <t xml:space="preserve">Old Flat 19</t>
  </si>
  <si>
    <t xml:space="preserve">Old Flat 3</t>
  </si>
  <si>
    <t xml:space="preserve">Old Flat 5</t>
  </si>
  <si>
    <t xml:space="preserve">Allocation Summary</t>
  </si>
  <si>
    <t xml:space="preserve">OLD BUILDING</t>
  </si>
  <si>
    <t xml:space="preserve">Total Flats</t>
  </si>
  <si>
    <t xml:space="preserve">Flat Size (sq.ft.)</t>
  </si>
  <si>
    <t xml:space="preserve">Total Area (sq.ft.)</t>
  </si>
  <si>
    <t xml:space="preserve">NEW BUILDING</t>
  </si>
  <si>
    <t xml:space="preserve">Wing A – Floors</t>
  </si>
  <si>
    <t xml:space="preserve">Wing A – Flats/Floor</t>
  </si>
  <si>
    <t xml:space="preserve">Wing A – Total Flats</t>
  </si>
  <si>
    <t xml:space="preserve">Wing B – Floors</t>
  </si>
  <si>
    <t xml:space="preserve">Wing B – Flats/Floor</t>
  </si>
  <si>
    <t xml:space="preserve">Wing B – Total Flats</t>
  </si>
  <si>
    <t xml:space="preserve">Total New Flats</t>
  </si>
  <si>
    <t xml:space="preserve">SPECIAL CONDITIONS</t>
  </si>
  <si>
    <t xml:space="preserve">Owner A: Old Flats</t>
  </si>
  <si>
    <t xml:space="preserve">3 &amp; 5</t>
  </si>
  <si>
    <t xml:space="preserve">Owner A: New Floor</t>
  </si>
  <si>
    <t xml:space="preserve">Wing B – Floor 1</t>
  </si>
  <si>
    <t xml:space="preserve">Owner A: New Flats</t>
  </si>
  <si>
    <t xml:space="preserve">B-01-1  &amp;  B-01-2</t>
  </si>
  <si>
    <t xml:space="preserve">Owner B: Old Flats</t>
  </si>
  <si>
    <t xml:space="preserve">14 &amp; 23</t>
  </si>
  <si>
    <t xml:space="preserve">Owner B: New Floor</t>
  </si>
  <si>
    <t xml:space="preserve">Wing B – Floor 6</t>
  </si>
  <si>
    <t xml:space="preserve">Owner B: New Flats</t>
  </si>
  <si>
    <t xml:space="preserve">B-06-1  &amp;  B-06-2</t>
  </si>
  <si>
    <t xml:space="preserve">Individual Allocations</t>
  </si>
  <si>
    <t xml:space="preserve">26 flats – randomly distributed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</si>
</sst>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4F4"/>
        <bgColor rgb="FFF2F2F2"/>
      </patternFill>
    </fill>
    <fill>
      <patternFill patternType="solid">
        <fgColor rgb="FFDEEAF1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EEAF1"/>
      </patternFill>
    </fill>
    <fill>
      <patternFill patternType="solid">
        <fgColor rgb="FFF2F2F2"/>
        <bgColor rgb="FFF4F4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4F4F4"/>
      <rgbColor rgb="FFD9E1F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">
        <v>10</v>
      </c>
      <c r="C5" s="4" t="s">
        <v>11</v>
      </c>
      <c r="D5" s="4" t="s">
        <v>12</v>
      </c>
      <c r="E5" s="4" t="n">
        <v>3</v>
      </c>
      <c r="F5" s="4" t="s">
        <v>13</v>
      </c>
      <c r="G5" s="4" t="n">
        <v>450</v>
      </c>
      <c r="H5" s="5" t="s">
        <v>14</v>
      </c>
    </row>
    <row r="6" customFormat="false" ht="15" hidden="false" customHeight="false" outlineLevel="0" collapsed="false">
      <c r="A6" s="6" t="n">
        <v>2</v>
      </c>
      <c r="B6" s="7" t="s">
        <v>10</v>
      </c>
      <c r="C6" s="6" t="s">
        <v>15</v>
      </c>
      <c r="D6" s="6" t="s">
        <v>16</v>
      </c>
      <c r="E6" s="6" t="n">
        <v>9</v>
      </c>
      <c r="F6" s="6" t="s">
        <v>17</v>
      </c>
      <c r="G6" s="6" t="n">
        <v>450</v>
      </c>
      <c r="H6" s="7" t="s">
        <v>14</v>
      </c>
    </row>
    <row r="7" customFormat="false" ht="15" hidden="false" customHeight="false" outlineLevel="0" collapsed="false">
      <c r="A7" s="8" t="n">
        <v>3</v>
      </c>
      <c r="B7" s="9" t="s">
        <v>18</v>
      </c>
      <c r="C7" s="8" t="s">
        <v>19</v>
      </c>
      <c r="D7" s="8" t="s">
        <v>12</v>
      </c>
      <c r="E7" s="8" t="n">
        <v>1</v>
      </c>
      <c r="F7" s="8" t="s">
        <v>13</v>
      </c>
      <c r="G7" s="8" t="n">
        <v>450</v>
      </c>
      <c r="H7" s="9" t="s">
        <v>20</v>
      </c>
    </row>
    <row r="8" customFormat="false" ht="15" hidden="false" customHeight="false" outlineLevel="0" collapsed="false">
      <c r="A8" s="6" t="n">
        <v>4</v>
      </c>
      <c r="B8" s="7" t="s">
        <v>10</v>
      </c>
      <c r="C8" s="6" t="s">
        <v>21</v>
      </c>
      <c r="D8" s="6" t="s">
        <v>16</v>
      </c>
      <c r="E8" s="6" t="n">
        <v>8</v>
      </c>
      <c r="F8" s="6" t="s">
        <v>17</v>
      </c>
      <c r="G8" s="6" t="n">
        <v>450</v>
      </c>
      <c r="H8" s="7" t="s">
        <v>14</v>
      </c>
    </row>
    <row r="9" customFormat="false" ht="15" hidden="false" customHeight="false" outlineLevel="0" collapsed="false">
      <c r="A9" s="8" t="n">
        <v>5</v>
      </c>
      <c r="B9" s="9" t="s">
        <v>18</v>
      </c>
      <c r="C9" s="8" t="s">
        <v>22</v>
      </c>
      <c r="D9" s="8" t="s">
        <v>12</v>
      </c>
      <c r="E9" s="8" t="n">
        <v>1</v>
      </c>
      <c r="F9" s="8" t="s">
        <v>23</v>
      </c>
      <c r="G9" s="8" t="n">
        <v>450</v>
      </c>
      <c r="H9" s="9" t="s">
        <v>20</v>
      </c>
    </row>
    <row r="10" customFormat="false" ht="15" hidden="false" customHeight="false" outlineLevel="0" collapsed="false">
      <c r="A10" s="6" t="n">
        <v>6</v>
      </c>
      <c r="B10" s="7" t="s">
        <v>10</v>
      </c>
      <c r="C10" s="6" t="s">
        <v>24</v>
      </c>
      <c r="D10" s="6" t="s">
        <v>16</v>
      </c>
      <c r="E10" s="6" t="n">
        <v>7</v>
      </c>
      <c r="F10" s="6" t="s">
        <v>17</v>
      </c>
      <c r="G10" s="6" t="n">
        <v>450</v>
      </c>
      <c r="H10" s="7" t="s">
        <v>14</v>
      </c>
    </row>
    <row r="11" customFormat="false" ht="15" hidden="false" customHeight="false" outlineLevel="0" collapsed="false">
      <c r="A11" s="4" t="n">
        <v>7</v>
      </c>
      <c r="B11" s="5" t="s">
        <v>10</v>
      </c>
      <c r="C11" s="4" t="s">
        <v>25</v>
      </c>
      <c r="D11" s="4" t="s">
        <v>12</v>
      </c>
      <c r="E11" s="4" t="n">
        <v>8</v>
      </c>
      <c r="F11" s="4" t="s">
        <v>13</v>
      </c>
      <c r="G11" s="4" t="n">
        <v>450</v>
      </c>
      <c r="H11" s="5" t="s">
        <v>14</v>
      </c>
    </row>
    <row r="12" customFormat="false" ht="15" hidden="false" customHeight="false" outlineLevel="0" collapsed="false">
      <c r="A12" s="4" t="n">
        <v>8</v>
      </c>
      <c r="B12" s="5" t="s">
        <v>10</v>
      </c>
      <c r="C12" s="4" t="s">
        <v>26</v>
      </c>
      <c r="D12" s="4" t="s">
        <v>12</v>
      </c>
      <c r="E12" s="4" t="n">
        <v>5</v>
      </c>
      <c r="F12" s="4" t="s">
        <v>23</v>
      </c>
      <c r="G12" s="4" t="n">
        <v>450</v>
      </c>
      <c r="H12" s="5" t="s">
        <v>14</v>
      </c>
    </row>
    <row r="13" customFormat="false" ht="15" hidden="false" customHeight="false" outlineLevel="0" collapsed="false">
      <c r="A13" s="6" t="n">
        <v>9</v>
      </c>
      <c r="B13" s="7" t="s">
        <v>10</v>
      </c>
      <c r="C13" s="6" t="s">
        <v>27</v>
      </c>
      <c r="D13" s="6" t="s">
        <v>16</v>
      </c>
      <c r="E13" s="6" t="n">
        <v>4</v>
      </c>
      <c r="F13" s="6" t="s">
        <v>17</v>
      </c>
      <c r="G13" s="6" t="n">
        <v>450</v>
      </c>
      <c r="H13" s="7" t="s">
        <v>14</v>
      </c>
    </row>
    <row r="14" customFormat="false" ht="15" hidden="false" customHeight="false" outlineLevel="0" collapsed="false">
      <c r="A14" s="4" t="n">
        <v>10</v>
      </c>
      <c r="B14" s="5" t="s">
        <v>10</v>
      </c>
      <c r="C14" s="4" t="s">
        <v>28</v>
      </c>
      <c r="D14" s="4" t="s">
        <v>12</v>
      </c>
      <c r="E14" s="4" t="n">
        <v>10</v>
      </c>
      <c r="F14" s="4" t="s">
        <v>13</v>
      </c>
      <c r="G14" s="4" t="n">
        <v>450</v>
      </c>
      <c r="H14" s="5" t="s">
        <v>14</v>
      </c>
    </row>
    <row r="15" customFormat="false" ht="15" hidden="false" customHeight="false" outlineLevel="0" collapsed="false">
      <c r="A15" s="4" t="n">
        <v>11</v>
      </c>
      <c r="B15" s="5" t="s">
        <v>10</v>
      </c>
      <c r="C15" s="4" t="s">
        <v>29</v>
      </c>
      <c r="D15" s="4" t="s">
        <v>12</v>
      </c>
      <c r="E15" s="4" t="n">
        <v>4</v>
      </c>
      <c r="F15" s="4" t="s">
        <v>13</v>
      </c>
      <c r="G15" s="4" t="n">
        <v>450</v>
      </c>
      <c r="H15" s="5" t="s">
        <v>14</v>
      </c>
    </row>
    <row r="16" customFormat="false" ht="15" hidden="false" customHeight="false" outlineLevel="0" collapsed="false">
      <c r="A16" s="4" t="n">
        <v>12</v>
      </c>
      <c r="B16" s="5" t="s">
        <v>10</v>
      </c>
      <c r="C16" s="4" t="s">
        <v>30</v>
      </c>
      <c r="D16" s="4" t="s">
        <v>12</v>
      </c>
      <c r="E16" s="4" t="n">
        <v>7</v>
      </c>
      <c r="F16" s="4" t="s">
        <v>23</v>
      </c>
      <c r="G16" s="4" t="n">
        <v>450</v>
      </c>
      <c r="H16" s="5" t="s">
        <v>14</v>
      </c>
    </row>
    <row r="17" customFormat="false" ht="15" hidden="false" customHeight="false" outlineLevel="0" collapsed="false">
      <c r="A17" s="6" t="n">
        <v>13</v>
      </c>
      <c r="B17" s="7" t="s">
        <v>10</v>
      </c>
      <c r="C17" s="6" t="s">
        <v>31</v>
      </c>
      <c r="D17" s="6" t="s">
        <v>16</v>
      </c>
      <c r="E17" s="6" t="n">
        <v>2</v>
      </c>
      <c r="F17" s="6" t="s">
        <v>17</v>
      </c>
      <c r="G17" s="6" t="n">
        <v>450</v>
      </c>
      <c r="H17" s="7" t="s">
        <v>14</v>
      </c>
    </row>
    <row r="18" customFormat="false" ht="15" hidden="false" customHeight="false" outlineLevel="0" collapsed="false">
      <c r="A18" s="10" t="n">
        <v>14</v>
      </c>
      <c r="B18" s="11" t="s">
        <v>32</v>
      </c>
      <c r="C18" s="10" t="s">
        <v>33</v>
      </c>
      <c r="D18" s="10" t="s">
        <v>12</v>
      </c>
      <c r="E18" s="10" t="n">
        <v>6</v>
      </c>
      <c r="F18" s="10" t="s">
        <v>13</v>
      </c>
      <c r="G18" s="10" t="n">
        <v>450</v>
      </c>
      <c r="H18" s="11" t="s">
        <v>34</v>
      </c>
    </row>
    <row r="19" customFormat="false" ht="15" hidden="false" customHeight="false" outlineLevel="0" collapsed="false">
      <c r="A19" s="6" t="n">
        <v>15</v>
      </c>
      <c r="B19" s="7" t="s">
        <v>10</v>
      </c>
      <c r="C19" s="6" t="s">
        <v>35</v>
      </c>
      <c r="D19" s="6" t="s">
        <v>16</v>
      </c>
      <c r="E19" s="6" t="n">
        <v>5</v>
      </c>
      <c r="F19" s="6" t="s">
        <v>17</v>
      </c>
      <c r="G19" s="6" t="n">
        <v>450</v>
      </c>
      <c r="H19" s="7" t="s">
        <v>14</v>
      </c>
    </row>
    <row r="20" customFormat="false" ht="15" hidden="false" customHeight="false" outlineLevel="0" collapsed="false">
      <c r="A20" s="4" t="n">
        <v>16</v>
      </c>
      <c r="B20" s="5" t="s">
        <v>10</v>
      </c>
      <c r="C20" s="4" t="s">
        <v>36</v>
      </c>
      <c r="D20" s="4" t="s">
        <v>12</v>
      </c>
      <c r="E20" s="4" t="n">
        <v>8</v>
      </c>
      <c r="F20" s="4" t="s">
        <v>23</v>
      </c>
      <c r="G20" s="4" t="n">
        <v>450</v>
      </c>
      <c r="H20" s="5" t="s">
        <v>14</v>
      </c>
    </row>
    <row r="21" customFormat="false" ht="15" hidden="false" customHeight="false" outlineLevel="0" collapsed="false">
      <c r="A21" s="6" t="n">
        <v>17</v>
      </c>
      <c r="B21" s="7" t="s">
        <v>10</v>
      </c>
      <c r="C21" s="6" t="s">
        <v>37</v>
      </c>
      <c r="D21" s="6" t="s">
        <v>16</v>
      </c>
      <c r="E21" s="6" t="n">
        <v>10</v>
      </c>
      <c r="F21" s="6" t="s">
        <v>17</v>
      </c>
      <c r="G21" s="6" t="n">
        <v>450</v>
      </c>
      <c r="H21" s="7" t="s">
        <v>14</v>
      </c>
    </row>
    <row r="22" customFormat="false" ht="15" hidden="false" customHeight="false" outlineLevel="0" collapsed="false">
      <c r="A22" s="4" t="n">
        <v>18</v>
      </c>
      <c r="B22" s="5" t="s">
        <v>10</v>
      </c>
      <c r="C22" s="4" t="s">
        <v>38</v>
      </c>
      <c r="D22" s="4" t="s">
        <v>12</v>
      </c>
      <c r="E22" s="4" t="n">
        <v>9</v>
      </c>
      <c r="F22" s="4" t="s">
        <v>23</v>
      </c>
      <c r="G22" s="4" t="n">
        <v>450</v>
      </c>
      <c r="H22" s="5" t="s">
        <v>14</v>
      </c>
    </row>
    <row r="23" customFormat="false" ht="15" hidden="false" customHeight="false" outlineLevel="0" collapsed="false">
      <c r="A23" s="6" t="n">
        <v>19</v>
      </c>
      <c r="B23" s="7" t="s">
        <v>10</v>
      </c>
      <c r="C23" s="6" t="s">
        <v>39</v>
      </c>
      <c r="D23" s="6" t="s">
        <v>16</v>
      </c>
      <c r="E23" s="6" t="n">
        <v>1</v>
      </c>
      <c r="F23" s="6" t="s">
        <v>17</v>
      </c>
      <c r="G23" s="6" t="n">
        <v>450</v>
      </c>
      <c r="H23" s="7" t="s">
        <v>14</v>
      </c>
    </row>
    <row r="24" customFormat="false" ht="15" hidden="false" customHeight="false" outlineLevel="0" collapsed="false">
      <c r="A24" s="4" t="n">
        <v>20</v>
      </c>
      <c r="B24" s="5" t="s">
        <v>10</v>
      </c>
      <c r="C24" s="4" t="s">
        <v>40</v>
      </c>
      <c r="D24" s="4" t="s">
        <v>12</v>
      </c>
      <c r="E24" s="4" t="n">
        <v>5</v>
      </c>
      <c r="F24" s="4" t="s">
        <v>13</v>
      </c>
      <c r="G24" s="4" t="n">
        <v>450</v>
      </c>
      <c r="H24" s="5" t="s">
        <v>14</v>
      </c>
    </row>
    <row r="25" customFormat="false" ht="15" hidden="false" customHeight="false" outlineLevel="0" collapsed="false">
      <c r="A25" s="4" t="n">
        <v>21</v>
      </c>
      <c r="B25" s="5" t="s">
        <v>10</v>
      </c>
      <c r="C25" s="4" t="s">
        <v>41</v>
      </c>
      <c r="D25" s="4" t="s">
        <v>12</v>
      </c>
      <c r="E25" s="4" t="n">
        <v>2</v>
      </c>
      <c r="F25" s="4" t="s">
        <v>23</v>
      </c>
      <c r="G25" s="4" t="n">
        <v>450</v>
      </c>
      <c r="H25" s="5" t="s">
        <v>14</v>
      </c>
    </row>
    <row r="26" customFormat="false" ht="15" hidden="false" customHeight="false" outlineLevel="0" collapsed="false">
      <c r="A26" s="4" t="n">
        <v>22</v>
      </c>
      <c r="B26" s="5" t="s">
        <v>10</v>
      </c>
      <c r="C26" s="4" t="s">
        <v>42</v>
      </c>
      <c r="D26" s="4" t="s">
        <v>12</v>
      </c>
      <c r="E26" s="4" t="n">
        <v>9</v>
      </c>
      <c r="F26" s="4" t="s">
        <v>13</v>
      </c>
      <c r="G26" s="4" t="n">
        <v>450</v>
      </c>
      <c r="H26" s="5" t="s">
        <v>14</v>
      </c>
    </row>
    <row r="27" customFormat="false" ht="15" hidden="false" customHeight="false" outlineLevel="0" collapsed="false">
      <c r="A27" s="10" t="n">
        <v>23</v>
      </c>
      <c r="B27" s="11" t="s">
        <v>32</v>
      </c>
      <c r="C27" s="10" t="s">
        <v>43</v>
      </c>
      <c r="D27" s="10" t="s">
        <v>12</v>
      </c>
      <c r="E27" s="10" t="n">
        <v>6</v>
      </c>
      <c r="F27" s="10" t="s">
        <v>23</v>
      </c>
      <c r="G27" s="10" t="n">
        <v>450</v>
      </c>
      <c r="H27" s="11" t="s">
        <v>34</v>
      </c>
    </row>
    <row r="28" customFormat="false" ht="15" hidden="false" customHeight="false" outlineLevel="0" collapsed="false">
      <c r="A28" s="4" t="n">
        <v>24</v>
      </c>
      <c r="B28" s="5" t="s">
        <v>10</v>
      </c>
      <c r="C28" s="4" t="s">
        <v>44</v>
      </c>
      <c r="D28" s="4" t="s">
        <v>12</v>
      </c>
      <c r="E28" s="4" t="n">
        <v>2</v>
      </c>
      <c r="F28" s="4" t="s">
        <v>13</v>
      </c>
      <c r="G28" s="4" t="n">
        <v>450</v>
      </c>
      <c r="H28" s="5" t="s">
        <v>14</v>
      </c>
    </row>
    <row r="29" customFormat="false" ht="15" hidden="false" customHeight="false" outlineLevel="0" collapsed="false">
      <c r="A29" s="4" t="n">
        <v>25</v>
      </c>
      <c r="B29" s="5" t="s">
        <v>10</v>
      </c>
      <c r="C29" s="4" t="s">
        <v>45</v>
      </c>
      <c r="D29" s="4" t="s">
        <v>12</v>
      </c>
      <c r="E29" s="4" t="n">
        <v>4</v>
      </c>
      <c r="F29" s="4" t="s">
        <v>23</v>
      </c>
      <c r="G29" s="4" t="n">
        <v>450</v>
      </c>
      <c r="H29" s="5" t="s">
        <v>14</v>
      </c>
    </row>
    <row r="30" customFormat="false" ht="15" hidden="false" customHeight="false" outlineLevel="0" collapsed="false">
      <c r="A30" s="4" t="n">
        <v>26</v>
      </c>
      <c r="B30" s="5" t="s">
        <v>10</v>
      </c>
      <c r="C30" s="4" t="s">
        <v>46</v>
      </c>
      <c r="D30" s="4" t="s">
        <v>12</v>
      </c>
      <c r="E30" s="4" t="n">
        <v>10</v>
      </c>
      <c r="F30" s="4" t="s">
        <v>23</v>
      </c>
      <c r="G30" s="4" t="n">
        <v>450</v>
      </c>
      <c r="H30" s="5" t="s">
        <v>14</v>
      </c>
    </row>
    <row r="31" customFormat="false" ht="15" hidden="false" customHeight="false" outlineLevel="0" collapsed="false">
      <c r="A31" s="4" t="n">
        <v>27</v>
      </c>
      <c r="B31" s="5" t="s">
        <v>10</v>
      </c>
      <c r="C31" s="4" t="s">
        <v>47</v>
      </c>
      <c r="D31" s="4" t="s">
        <v>12</v>
      </c>
      <c r="E31" s="4" t="n">
        <v>3</v>
      </c>
      <c r="F31" s="4" t="s">
        <v>23</v>
      </c>
      <c r="G31" s="4" t="n">
        <v>450</v>
      </c>
      <c r="H31" s="5" t="s">
        <v>14</v>
      </c>
    </row>
    <row r="32" customFormat="false" ht="15" hidden="false" customHeight="false" outlineLevel="0" collapsed="false">
      <c r="A32" s="6" t="n">
        <v>28</v>
      </c>
      <c r="B32" s="7" t="s">
        <v>10</v>
      </c>
      <c r="C32" s="6" t="s">
        <v>48</v>
      </c>
      <c r="D32" s="6" t="s">
        <v>16</v>
      </c>
      <c r="E32" s="6" t="n">
        <v>6</v>
      </c>
      <c r="F32" s="6" t="s">
        <v>17</v>
      </c>
      <c r="G32" s="6" t="n">
        <v>450</v>
      </c>
      <c r="H32" s="7" t="s">
        <v>14</v>
      </c>
    </row>
    <row r="33" customFormat="false" ht="15" hidden="false" customHeight="false" outlineLevel="0" collapsed="false">
      <c r="A33" s="4" t="n">
        <v>29</v>
      </c>
      <c r="B33" s="5" t="s">
        <v>10</v>
      </c>
      <c r="C33" s="4" t="s">
        <v>49</v>
      </c>
      <c r="D33" s="4" t="s">
        <v>12</v>
      </c>
      <c r="E33" s="4" t="n">
        <v>7</v>
      </c>
      <c r="F33" s="4" t="s">
        <v>13</v>
      </c>
      <c r="G33" s="4" t="n">
        <v>450</v>
      </c>
      <c r="H33" s="5" t="s">
        <v>14</v>
      </c>
    </row>
    <row r="34" customFormat="false" ht="15" hidden="false" customHeight="false" outlineLevel="0" collapsed="false">
      <c r="A34" s="6" t="n">
        <v>30</v>
      </c>
      <c r="B34" s="7" t="s">
        <v>10</v>
      </c>
      <c r="C34" s="6" t="s">
        <v>50</v>
      </c>
      <c r="D34" s="6" t="s">
        <v>16</v>
      </c>
      <c r="E34" s="6" t="n">
        <v>3</v>
      </c>
      <c r="F34" s="6" t="s">
        <v>17</v>
      </c>
      <c r="G34" s="6" t="n">
        <v>450</v>
      </c>
      <c r="H34" s="7" t="s">
        <v>14</v>
      </c>
    </row>
    <row r="35" customFormat="false" ht="21.75" hidden="false" customHeight="true" outlineLevel="0" collapsed="false">
      <c r="A35" s="3" t="s">
        <v>51</v>
      </c>
      <c r="B35" s="3"/>
      <c r="C35" s="3"/>
      <c r="D35" s="3"/>
      <c r="E35" s="3"/>
      <c r="F35" s="3"/>
      <c r="G35" s="12" t="n">
        <f aca="false">SUM(G5:G34)</f>
        <v>13500</v>
      </c>
      <c r="H35" s="13"/>
    </row>
    <row r="37" customFormat="false" ht="15" hidden="false" customHeight="false" outlineLevel="0" collapsed="false">
      <c r="A37" s="14" t="s">
        <v>52</v>
      </c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5"/>
      <c r="B38" s="16" t="s">
        <v>53</v>
      </c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A39" s="17"/>
      <c r="B39" s="16" t="s">
        <v>54</v>
      </c>
      <c r="C39" s="16"/>
      <c r="D39" s="16"/>
      <c r="E39" s="16"/>
      <c r="F39" s="16"/>
      <c r="G39" s="16"/>
      <c r="H39" s="16"/>
    </row>
    <row r="40" customFormat="false" ht="15" hidden="false" customHeight="false" outlineLevel="0" collapsed="false">
      <c r="A40" s="18"/>
      <c r="B40" s="16" t="s">
        <v>55</v>
      </c>
      <c r="C40" s="16"/>
      <c r="D40" s="16"/>
      <c r="E40" s="16"/>
      <c r="F40" s="16"/>
      <c r="G40" s="16"/>
      <c r="H40" s="16"/>
    </row>
    <row r="41" customFormat="false" ht="15" hidden="false" customHeight="false" outlineLevel="0" collapsed="false">
      <c r="A41" s="19"/>
      <c r="B41" s="16" t="s">
        <v>56</v>
      </c>
      <c r="C41" s="16"/>
      <c r="D41" s="16"/>
      <c r="E41" s="16"/>
      <c r="F41" s="16"/>
      <c r="G41" s="16"/>
      <c r="H41" s="16"/>
    </row>
  </sheetData>
  <mergeCells count="8">
    <mergeCell ref="A1:H1"/>
    <mergeCell ref="A2:H2"/>
    <mergeCell ref="A35:F35"/>
    <mergeCell ref="A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9" min="6" style="0" width="16"/>
  </cols>
  <sheetData>
    <row r="1" customFormat="false" ht="30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true" outlineLevel="0" collapsed="false">
      <c r="A3" s="20" t="s">
        <v>58</v>
      </c>
      <c r="B3" s="20"/>
      <c r="E3" s="20" t="s">
        <v>59</v>
      </c>
      <c r="F3" s="20"/>
      <c r="G3" s="20"/>
      <c r="H3" s="20"/>
      <c r="I3" s="20"/>
    </row>
    <row r="4" customFormat="false" ht="21.75" hidden="false" customHeight="true" outlineLevel="0" collapsed="false">
      <c r="A4" s="3" t="s">
        <v>6</v>
      </c>
      <c r="B4" s="3" t="s">
        <v>60</v>
      </c>
      <c r="C4" s="3" t="s">
        <v>2</v>
      </c>
      <c r="E4" s="3" t="s">
        <v>6</v>
      </c>
      <c r="F4" s="3" t="s">
        <v>61</v>
      </c>
      <c r="G4" s="3" t="s">
        <v>2</v>
      </c>
      <c r="H4" s="3" t="s">
        <v>62</v>
      </c>
      <c r="I4" s="3" t="s">
        <v>2</v>
      </c>
    </row>
    <row r="5" customFormat="false" ht="19.5" hidden="false" customHeight="true" outlineLevel="0" collapsed="false">
      <c r="A5" s="6" t="s">
        <v>63</v>
      </c>
      <c r="B5" s="6" t="s">
        <v>37</v>
      </c>
      <c r="C5" s="6" t="s">
        <v>64</v>
      </c>
      <c r="E5" s="21" t="s">
        <v>63</v>
      </c>
      <c r="F5" s="4" t="s">
        <v>28</v>
      </c>
      <c r="G5" s="4" t="s">
        <v>65</v>
      </c>
      <c r="H5" s="4" t="s">
        <v>46</v>
      </c>
      <c r="I5" s="4" t="s">
        <v>66</v>
      </c>
    </row>
    <row r="6" customFormat="false" ht="19.5" hidden="false" customHeight="true" outlineLevel="0" collapsed="false">
      <c r="A6" s="6" t="s">
        <v>67</v>
      </c>
      <c r="B6" s="6" t="s">
        <v>15</v>
      </c>
      <c r="C6" s="6" t="s">
        <v>68</v>
      </c>
      <c r="E6" s="21" t="s">
        <v>67</v>
      </c>
      <c r="F6" s="4" t="s">
        <v>42</v>
      </c>
      <c r="G6" s="4" t="s">
        <v>69</v>
      </c>
      <c r="H6" s="4" t="s">
        <v>38</v>
      </c>
      <c r="I6" s="4" t="s">
        <v>70</v>
      </c>
    </row>
    <row r="7" customFormat="false" ht="19.5" hidden="false" customHeight="true" outlineLevel="0" collapsed="false">
      <c r="A7" s="6" t="s">
        <v>71</v>
      </c>
      <c r="B7" s="6" t="s">
        <v>21</v>
      </c>
      <c r="C7" s="6" t="s">
        <v>72</v>
      </c>
      <c r="E7" s="21" t="s">
        <v>71</v>
      </c>
      <c r="F7" s="4" t="s">
        <v>25</v>
      </c>
      <c r="G7" s="4" t="s">
        <v>73</v>
      </c>
      <c r="H7" s="4" t="s">
        <v>36</v>
      </c>
      <c r="I7" s="4" t="s">
        <v>74</v>
      </c>
    </row>
    <row r="8" customFormat="false" ht="19.5" hidden="false" customHeight="true" outlineLevel="0" collapsed="false">
      <c r="A8" s="6" t="s">
        <v>75</v>
      </c>
      <c r="B8" s="6" t="s">
        <v>24</v>
      </c>
      <c r="C8" s="6" t="s">
        <v>76</v>
      </c>
      <c r="E8" s="21" t="s">
        <v>75</v>
      </c>
      <c r="F8" s="4" t="s">
        <v>49</v>
      </c>
      <c r="G8" s="4" t="s">
        <v>77</v>
      </c>
      <c r="H8" s="4" t="s">
        <v>30</v>
      </c>
      <c r="I8" s="4" t="s">
        <v>78</v>
      </c>
    </row>
    <row r="9" customFormat="false" ht="19.5" hidden="false" customHeight="true" outlineLevel="0" collapsed="false">
      <c r="A9" s="6" t="s">
        <v>79</v>
      </c>
      <c r="B9" s="6" t="s">
        <v>48</v>
      </c>
      <c r="C9" s="6" t="s">
        <v>80</v>
      </c>
      <c r="E9" s="21" t="s">
        <v>79</v>
      </c>
      <c r="F9" s="10" t="s">
        <v>33</v>
      </c>
      <c r="G9" s="10" t="s">
        <v>81</v>
      </c>
      <c r="H9" s="10" t="s">
        <v>43</v>
      </c>
      <c r="I9" s="10" t="s">
        <v>82</v>
      </c>
    </row>
    <row r="10" customFormat="false" ht="19.5" hidden="false" customHeight="true" outlineLevel="0" collapsed="false">
      <c r="A10" s="6" t="s">
        <v>83</v>
      </c>
      <c r="B10" s="6" t="s">
        <v>35</v>
      </c>
      <c r="C10" s="6" t="s">
        <v>84</v>
      </c>
      <c r="E10" s="21" t="s">
        <v>83</v>
      </c>
      <c r="F10" s="4" t="s">
        <v>40</v>
      </c>
      <c r="G10" s="4" t="s">
        <v>85</v>
      </c>
      <c r="H10" s="4" t="s">
        <v>26</v>
      </c>
      <c r="I10" s="4" t="s">
        <v>86</v>
      </c>
    </row>
    <row r="11" customFormat="false" ht="19.5" hidden="false" customHeight="true" outlineLevel="0" collapsed="false">
      <c r="A11" s="6" t="s">
        <v>87</v>
      </c>
      <c r="B11" s="6" t="s">
        <v>27</v>
      </c>
      <c r="C11" s="6" t="s">
        <v>88</v>
      </c>
      <c r="E11" s="21" t="s">
        <v>87</v>
      </c>
      <c r="F11" s="4" t="s">
        <v>29</v>
      </c>
      <c r="G11" s="4" t="s">
        <v>89</v>
      </c>
      <c r="H11" s="4" t="s">
        <v>45</v>
      </c>
      <c r="I11" s="4" t="s">
        <v>90</v>
      </c>
    </row>
    <row r="12" customFormat="false" ht="19.5" hidden="false" customHeight="true" outlineLevel="0" collapsed="false">
      <c r="A12" s="6" t="s">
        <v>91</v>
      </c>
      <c r="B12" s="6" t="s">
        <v>50</v>
      </c>
      <c r="C12" s="6" t="s">
        <v>92</v>
      </c>
      <c r="E12" s="21" t="s">
        <v>91</v>
      </c>
      <c r="F12" s="4" t="s">
        <v>11</v>
      </c>
      <c r="G12" s="4" t="s">
        <v>93</v>
      </c>
      <c r="H12" s="4" t="s">
        <v>47</v>
      </c>
      <c r="I12" s="4" t="s">
        <v>94</v>
      </c>
    </row>
    <row r="13" customFormat="false" ht="19.5" hidden="false" customHeight="true" outlineLevel="0" collapsed="false">
      <c r="A13" s="6" t="s">
        <v>95</v>
      </c>
      <c r="B13" s="6" t="s">
        <v>31</v>
      </c>
      <c r="C13" s="6" t="s">
        <v>96</v>
      </c>
      <c r="E13" s="21" t="s">
        <v>95</v>
      </c>
      <c r="F13" s="4" t="s">
        <v>44</v>
      </c>
      <c r="G13" s="4" t="s">
        <v>97</v>
      </c>
      <c r="H13" s="4" t="s">
        <v>41</v>
      </c>
      <c r="I13" s="4" t="s">
        <v>98</v>
      </c>
    </row>
    <row r="14" customFormat="false" ht="19.5" hidden="false" customHeight="true" outlineLevel="0" collapsed="false">
      <c r="A14" s="6" t="s">
        <v>99</v>
      </c>
      <c r="B14" s="6" t="s">
        <v>39</v>
      </c>
      <c r="C14" s="6" t="s">
        <v>100</v>
      </c>
      <c r="E14" s="21" t="s">
        <v>99</v>
      </c>
      <c r="F14" s="8" t="s">
        <v>19</v>
      </c>
      <c r="G14" s="8" t="s">
        <v>101</v>
      </c>
      <c r="H14" s="8" t="s">
        <v>22</v>
      </c>
      <c r="I14" s="8" t="s">
        <v>102</v>
      </c>
    </row>
    <row r="17" customFormat="false" ht="15" hidden="false" customHeight="false" outlineLevel="0" collapsed="false">
      <c r="A17" s="14" t="s">
        <v>52</v>
      </c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5"/>
      <c r="B18" s="16" t="s">
        <v>53</v>
      </c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A19" s="17"/>
      <c r="B19" s="16" t="s">
        <v>54</v>
      </c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18"/>
      <c r="B20" s="16" t="s">
        <v>55</v>
      </c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A21" s="19"/>
      <c r="B21" s="16" t="s">
        <v>56</v>
      </c>
      <c r="C21" s="16"/>
      <c r="D21" s="16"/>
      <c r="E21" s="16"/>
      <c r="F21" s="16"/>
      <c r="G21" s="16"/>
      <c r="H21" s="16"/>
      <c r="I21" s="16"/>
    </row>
  </sheetData>
  <mergeCells count="8">
    <mergeCell ref="A1:I1"/>
    <mergeCell ref="A3:B3"/>
    <mergeCell ref="E3:I3"/>
    <mergeCell ref="A17:I17"/>
    <mergeCell ref="B18:I18"/>
    <mergeCell ref="B19:I19"/>
    <mergeCell ref="B20:I20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2" style="0" width="30"/>
  </cols>
  <sheetData>
    <row r="1" customFormat="false" ht="30" hidden="false" customHeight="true" outlineLevel="0" collapsed="false">
      <c r="A1" s="1" t="s">
        <v>103</v>
      </c>
      <c r="B1" s="1"/>
      <c r="C1" s="1"/>
      <c r="D1" s="1"/>
    </row>
    <row r="3" customFormat="false" ht="15" hidden="false" customHeight="false" outlineLevel="0" collapsed="false">
      <c r="B3" s="22" t="s">
        <v>104</v>
      </c>
      <c r="C3" s="22"/>
    </row>
    <row r="4" customFormat="false" ht="15" hidden="false" customHeight="false" outlineLevel="0" collapsed="false">
      <c r="B4" s="23" t="s">
        <v>105</v>
      </c>
      <c r="C4" s="24" t="n">
        <v>30</v>
      </c>
    </row>
    <row r="5" customFormat="false" ht="15" hidden="false" customHeight="false" outlineLevel="0" collapsed="false">
      <c r="B5" s="25" t="s">
        <v>106</v>
      </c>
      <c r="C5" s="26" t="n">
        <v>450</v>
      </c>
    </row>
    <row r="6" customFormat="false" ht="15" hidden="false" customHeight="false" outlineLevel="0" collapsed="false">
      <c r="B6" s="23" t="s">
        <v>107</v>
      </c>
      <c r="C6" s="24" t="n">
        <f aca="false">C4*C5</f>
        <v>13500</v>
      </c>
    </row>
    <row r="8" customFormat="false" ht="15" hidden="false" customHeight="false" outlineLevel="0" collapsed="false">
      <c r="B8" s="22" t="s">
        <v>108</v>
      </c>
      <c r="C8" s="22"/>
    </row>
    <row r="9" customFormat="false" ht="15" hidden="false" customHeight="false" outlineLevel="0" collapsed="false">
      <c r="B9" s="25" t="s">
        <v>109</v>
      </c>
      <c r="C9" s="26" t="n">
        <v>10</v>
      </c>
    </row>
    <row r="10" customFormat="false" ht="15" hidden="false" customHeight="false" outlineLevel="0" collapsed="false">
      <c r="B10" s="23" t="s">
        <v>110</v>
      </c>
      <c r="C10" s="24" t="n">
        <v>1</v>
      </c>
    </row>
    <row r="11" customFormat="false" ht="15" hidden="false" customHeight="false" outlineLevel="0" collapsed="false">
      <c r="B11" s="25" t="s">
        <v>111</v>
      </c>
      <c r="C11" s="26" t="n">
        <f aca="false">C9*C10</f>
        <v>10</v>
      </c>
    </row>
    <row r="12" customFormat="false" ht="15" hidden="false" customHeight="false" outlineLevel="0" collapsed="false">
      <c r="B12" s="23" t="s">
        <v>112</v>
      </c>
      <c r="C12" s="24" t="n">
        <v>10</v>
      </c>
    </row>
    <row r="13" customFormat="false" ht="15" hidden="false" customHeight="false" outlineLevel="0" collapsed="false">
      <c r="B13" s="25" t="s">
        <v>113</v>
      </c>
      <c r="C13" s="26" t="n">
        <v>2</v>
      </c>
    </row>
    <row r="14" customFormat="false" ht="15" hidden="false" customHeight="false" outlineLevel="0" collapsed="false">
      <c r="B14" s="23" t="s">
        <v>114</v>
      </c>
      <c r="C14" s="24" t="n">
        <f aca="false">C12*C13</f>
        <v>20</v>
      </c>
    </row>
    <row r="15" customFormat="false" ht="15" hidden="false" customHeight="false" outlineLevel="0" collapsed="false">
      <c r="B15" s="25" t="s">
        <v>115</v>
      </c>
      <c r="C15" s="26" t="n">
        <f aca="false">C11+C14</f>
        <v>30</v>
      </c>
    </row>
    <row r="17" customFormat="false" ht="15" hidden="false" customHeight="false" outlineLevel="0" collapsed="false">
      <c r="B17" s="22" t="s">
        <v>116</v>
      </c>
      <c r="C17" s="22"/>
    </row>
    <row r="18" customFormat="false" ht="15" hidden="false" customHeight="false" outlineLevel="0" collapsed="false">
      <c r="B18" s="23" t="s">
        <v>117</v>
      </c>
      <c r="C18" s="24" t="s">
        <v>118</v>
      </c>
    </row>
    <row r="19" customFormat="false" ht="15" hidden="false" customHeight="false" outlineLevel="0" collapsed="false">
      <c r="B19" s="25" t="s">
        <v>119</v>
      </c>
      <c r="C19" s="26" t="s">
        <v>120</v>
      </c>
    </row>
    <row r="20" customFormat="false" ht="15" hidden="false" customHeight="false" outlineLevel="0" collapsed="false">
      <c r="B20" s="23" t="s">
        <v>121</v>
      </c>
      <c r="C20" s="24" t="s">
        <v>122</v>
      </c>
    </row>
    <row r="21" customFormat="false" ht="15" hidden="false" customHeight="false" outlineLevel="0" collapsed="false">
      <c r="B21" s="25" t="s">
        <v>123</v>
      </c>
      <c r="C21" s="26" t="s">
        <v>124</v>
      </c>
    </row>
    <row r="22" customFormat="false" ht="15" hidden="false" customHeight="false" outlineLevel="0" collapsed="false">
      <c r="B22" s="23" t="s">
        <v>125</v>
      </c>
      <c r="C22" s="24" t="s">
        <v>126</v>
      </c>
    </row>
    <row r="23" customFormat="false" ht="15" hidden="false" customHeight="false" outlineLevel="0" collapsed="false">
      <c r="B23" s="25" t="s">
        <v>127</v>
      </c>
      <c r="C23" s="26" t="s">
        <v>128</v>
      </c>
    </row>
    <row r="24" customFormat="false" ht="15" hidden="false" customHeight="false" outlineLevel="0" collapsed="false">
      <c r="B24" s="23" t="s">
        <v>129</v>
      </c>
      <c r="C24" s="24" t="s">
        <v>130</v>
      </c>
    </row>
  </sheetData>
  <mergeCells count="4">
    <mergeCell ref="A1:D1"/>
    <mergeCell ref="B3:C3"/>
    <mergeCell ref="B8:C8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2026-03-07T07:38:33Z</dcterms:created>
  <dc:creator>openpyxl</dc:creator>
  <dc:description/>
  <dc:language>en-US</dc:language>
  <cp:lastModifiedBy/>
  <dcterms:modified xsi:type="dcterms:W3CDTF">2026-03-07T07:38:33Z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